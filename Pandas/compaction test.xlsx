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Excel\"/>
    </mc:Choice>
  </mc:AlternateContent>
  <xr:revisionPtr revIDLastSave="0" documentId="13_ncr:1_{EA8A8B29-456E-4393-83B9-44C0D7249ECE}" xr6:coauthVersionLast="47" xr6:coauthVersionMax="47" xr10:uidLastSave="{00000000-0000-0000-0000-000000000000}"/>
  <bookViews>
    <workbookView xWindow="-120" yWindow="-120" windowWidth="20730" windowHeight="11160" xr2:uid="{A6C8B27B-B673-42A2-97CD-493AC7409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 s="1"/>
  <c r="N4" i="1"/>
  <c r="O4" i="1" s="1"/>
  <c r="H5" i="1"/>
  <c r="J5" i="1" s="1"/>
  <c r="I5" i="1"/>
  <c r="N14" i="1"/>
  <c r="O14" i="1" s="1"/>
  <c r="H15" i="1"/>
  <c r="I15" i="1"/>
  <c r="H14" i="1"/>
  <c r="I14" i="1"/>
  <c r="K4" i="1" l="1"/>
  <c r="P4" i="1" s="1"/>
  <c r="J15" i="1"/>
  <c r="J14" i="1"/>
  <c r="K14" i="1" s="1"/>
  <c r="P14" i="1" s="1"/>
  <c r="H6" i="1"/>
  <c r="H7" i="1"/>
  <c r="H8" i="1"/>
  <c r="H9" i="1"/>
  <c r="H10" i="1"/>
  <c r="H11" i="1"/>
  <c r="H12" i="1"/>
  <c r="H13" i="1"/>
  <c r="I8" i="1"/>
  <c r="I13" i="1"/>
  <c r="I12" i="1"/>
  <c r="J12" i="1" s="1"/>
  <c r="J13" i="1" l="1"/>
  <c r="J8" i="1"/>
  <c r="K12" i="1"/>
  <c r="I9" i="1"/>
  <c r="J9" i="1" s="1"/>
  <c r="K8" i="1" s="1"/>
  <c r="N6" i="1" l="1"/>
  <c r="O6" i="1" s="1"/>
  <c r="N8" i="1"/>
  <c r="O8" i="1" s="1"/>
  <c r="N10" i="1"/>
  <c r="O10" i="1" s="1"/>
  <c r="N12" i="1"/>
  <c r="O12" i="1" s="1"/>
  <c r="I6" i="1"/>
  <c r="J6" i="1" s="1"/>
  <c r="I7" i="1"/>
  <c r="J7" i="1" s="1"/>
  <c r="I10" i="1"/>
  <c r="J10" i="1" s="1"/>
  <c r="I11" i="1"/>
  <c r="J11" i="1" s="1"/>
  <c r="K10" i="1" l="1"/>
  <c r="K6" i="1"/>
  <c r="P12" i="1" l="1"/>
  <c r="P8" i="1"/>
  <c r="P10" i="1"/>
  <c r="P6" i="1"/>
</calcChain>
</file>

<file path=xl/sharedStrings.xml><?xml version="1.0" encoding="utf-8"?>
<sst xmlns="http://schemas.openxmlformats.org/spreadsheetml/2006/main" count="15" uniqueCount="15">
  <si>
    <t xml:space="preserve">no </t>
  </si>
  <si>
    <t>can no</t>
  </si>
  <si>
    <t>can wt</t>
  </si>
  <si>
    <t>can+ wet soil wt</t>
  </si>
  <si>
    <t>can + dry soil wt</t>
  </si>
  <si>
    <t>dry soil wt</t>
  </si>
  <si>
    <t>moisture wt</t>
  </si>
  <si>
    <t>MC %</t>
  </si>
  <si>
    <t>mold wt</t>
  </si>
  <si>
    <t>mold + compacted soil wt</t>
  </si>
  <si>
    <t>compacted soil wt</t>
  </si>
  <si>
    <t>avg MC%</t>
  </si>
  <si>
    <t>water %</t>
  </si>
  <si>
    <t>wet density( gm/cc)</t>
  </si>
  <si>
    <t>dry density KN/m2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</si>
</sst>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2" fontId="0" fillId="2" borderId="0" xfId="0" applyNumberFormat="1" applyFill="1" applyAlignment="1">
      <alignment vertical="center" wrapText="1"/>
    </xf>
    <xf numFmtId="2" fontId="0" fillId="0" borderId="0" xfId="0" applyNumberFormat="1"/>
    <xf numFmtId="0" fontId="0" fillId="3" borderId="0" xfId="0" applyFont="1" applyFill="1"/>
    <xf numFmtId="2" fontId="0" fillId="3" borderId="0" xfId="0" applyNumberFormat="1" applyFont="1" applyFill="1"/>
    <xf numFmtId="0" fontId="0" fillId="3" borderId="0" xfId="0" applyFont="1" applyFill="1" applyAlignment="1">
      <alignment horizontal="center" vertical="center"/>
    </xf>
    <xf numFmtId="2" fontId="0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34571685931269E-2"/>
          <c:y val="0.17393558962920846"/>
          <c:w val="0.84253704490897907"/>
          <c:h val="0.709281155563697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Sheet1!$K$6:$K$15</c:f>
              <c:strCache>
                <c:ptCount val="10"/>
                <c:pt idx="0">
                  <c:v>11.55</c:v>
                </c:pt>
                <c:pt idx="2">
                  <c:v>13.66</c:v>
                </c:pt>
                <c:pt idx="4">
                  <c:v>16.82</c:v>
                </c:pt>
                <c:pt idx="6">
                  <c:v>19.17</c:v>
                </c:pt>
                <c:pt idx="8">
                  <c:v>20.20</c:v>
                </c:pt>
              </c:strCache>
            </c:strRef>
          </c:tx>
          <c:spPr>
            <a:ln w="22225" cap="rnd">
              <a:solidFill>
                <a:schemeClr val="tx1">
                  <a:alpha val="99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25400" cap="rnd">
                <a:solidFill>
                  <a:schemeClr val="tx1">
                    <a:alpha val="99000"/>
                  </a:schemeClr>
                </a:solidFill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Sheet1!$K$6:$K$15</c:f>
              <c:numCache>
                <c:formatCode>0.00</c:formatCode>
                <c:ptCount val="10"/>
                <c:pt idx="0">
                  <c:v>11.551720388011656</c:v>
                </c:pt>
                <c:pt idx="2">
                  <c:v>13.660419248244516</c:v>
                </c:pt>
                <c:pt idx="4">
                  <c:v>16.817943611780741</c:v>
                </c:pt>
                <c:pt idx="6">
                  <c:v>19.170518746789924</c:v>
                </c:pt>
                <c:pt idx="8">
                  <c:v>20.204629432046637</c:v>
                </c:pt>
              </c:numCache>
            </c:numRef>
          </c:xVal>
          <c:yVal>
            <c:numRef>
              <c:f>Sheet1!$P$6:$P$15</c:f>
              <c:numCache>
                <c:formatCode>0.00</c:formatCode>
                <c:ptCount val="10"/>
                <c:pt idx="0">
                  <c:v>15.650565061251561</c:v>
                </c:pt>
                <c:pt idx="2">
                  <c:v>15.90878482150505</c:v>
                </c:pt>
                <c:pt idx="4">
                  <c:v>16.368364182323827</c:v>
                </c:pt>
                <c:pt idx="6">
                  <c:v>16.045232194806598</c:v>
                </c:pt>
                <c:pt idx="8">
                  <c:v>15.388483437721852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3-4DEF-A0BB-EA5AA0085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417567"/>
        <c:axId val="609410495"/>
      </c:scatterChart>
      <c:valAx>
        <c:axId val="609417567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noFill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10495"/>
        <c:crosses val="autoZero"/>
        <c:crossBetween val="midCat"/>
        <c:majorUnit val="5"/>
      </c:valAx>
      <c:valAx>
        <c:axId val="60941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Dry Density (kN/m3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1756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564741907261578E-2"/>
          <c:y val="7.8488271883268998E-2"/>
          <c:w val="0.89108084981383862"/>
          <c:h val="0.724720764050046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dry density KN/m2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intercept val="0"/>
            <c:dispRSqr val="0"/>
            <c:dispEq val="0"/>
          </c:trendline>
          <c:xVal>
            <c:numRef>
              <c:f>Sheet1!$K$4:$K$17</c:f>
              <c:numCache>
                <c:formatCode>0.00</c:formatCode>
                <c:ptCount val="14"/>
                <c:pt idx="0">
                  <c:v>8.78274268104777</c:v>
                </c:pt>
                <c:pt idx="2">
                  <c:v>11.551720388011656</c:v>
                </c:pt>
                <c:pt idx="4">
                  <c:v>13.660419248244516</c:v>
                </c:pt>
                <c:pt idx="6">
                  <c:v>16.817943611780741</c:v>
                </c:pt>
                <c:pt idx="8">
                  <c:v>19.170518746789924</c:v>
                </c:pt>
                <c:pt idx="10">
                  <c:v>20.204629432046637</c:v>
                </c:pt>
              </c:numCache>
            </c:numRef>
          </c:xVal>
          <c:yVal>
            <c:numRef>
              <c:f>Sheet1!$P$4:$P$17</c:f>
              <c:numCache>
                <c:formatCode>0.00</c:formatCode>
                <c:ptCount val="14"/>
                <c:pt idx="0">
                  <c:v>15.189173158640227</c:v>
                </c:pt>
                <c:pt idx="2">
                  <c:v>15.650565061251561</c:v>
                </c:pt>
                <c:pt idx="4">
                  <c:v>15.90878482150505</c:v>
                </c:pt>
                <c:pt idx="6">
                  <c:v>16.368364182323827</c:v>
                </c:pt>
                <c:pt idx="8">
                  <c:v>16.045232194806598</c:v>
                </c:pt>
                <c:pt idx="10">
                  <c:v>15.388483437721852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24-47D9-8A63-5E3713FF2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692591"/>
        <c:axId val="846067455"/>
      </c:scatterChart>
      <c:valAx>
        <c:axId val="65169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Moisture content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97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67455"/>
        <c:crosses val="autoZero"/>
        <c:crossBetween val="midCat"/>
      </c:valAx>
      <c:valAx>
        <c:axId val="84606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dirty="0"/>
                  <a:t>Density(gm/cc)</a:t>
                </a:r>
              </a:p>
            </c:rich>
          </c:tx>
          <c:layout>
            <c:manualLayout>
              <c:xMode val="edge"/>
              <c:yMode val="edge"/>
              <c:x val="0"/>
              <c:y val="0.26387877442894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97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9259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194829</xdr:colOff>
      <xdr:row>19</xdr:row>
      <xdr:rowOff>128855</xdr:rowOff>
    </xdr:from>
    <xdr:to>
      <xdr:col>15</xdr:col>
      <xdr:colOff>29894</xdr:colOff>
      <xdr:row>38</xdr:row>
      <xdr:rowOff>128855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A7B32C-1C49-40DA-836A-5CC75393C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47</xdr:row>
      <xdr:rowOff>0</xdr:rowOff>
    </xdr:from>
    <xdr:to>
      <xdr:col>16</xdr:col>
      <xdr:colOff>225553</xdr:colOff>
      <xdr:row>66</xdr:row>
      <xdr:rowOff>26283</xdr:rowOff>
    </xdr:to>
    <xdr:graphicFrame macro="">
      <xdr:nvGraphicFramePr>
        <xdr:cNvPr id="8" name="Content Placeholder 14">
          <a:extLst>
            <a:ext uri="{FF2B5EF4-FFF2-40B4-BE49-F238E27FC236}">
              <a16:creationId xmlns:a16="http://schemas.microsoft.com/office/drawing/2014/main" id="{881A02B9-4868-1209-219D-021DE4053C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4B9A-CBDF-4C5C-9B2F-D1ED4FDF7193}">
  <dimension ref="B3:Q15"/>
  <sheetViews>
    <sheetView tabSelected="1" topLeftCell="C20" zoomScale="106" zoomScaleNormal="130" workbookViewId="0">
      <selection activeCell="D5" sqref="A4:XFD5"/>
    </sheetView>
  </sheetViews>
  <sheetFormatPr defaultRowHeight="15" x14ac:dyDescent="0.25"/>
  <cols>
    <col min="2" max="2" width="6.5703125" customWidth="1"/>
    <col min="3" max="3" width="7.85546875" customWidth="1"/>
    <col min="5" max="5" width="6.5703125" customWidth="1"/>
    <col min="10" max="10" width="7.42578125" style="5" customWidth="1"/>
    <col min="11" max="11" width="7.42578125" customWidth="1"/>
    <col min="13" max="13" width="11.42578125" customWidth="1"/>
    <col min="14" max="14" width="10.85546875" customWidth="1"/>
    <col min="16" max="16" width="8.7109375" style="5"/>
    <col min="17" max="17" width="10.85546875" customWidth="1"/>
  </cols>
  <sheetData>
    <row r="3" spans="2:17" s="1" customFormat="1" ht="45" x14ac:dyDescent="0.25">
      <c r="B3" s="2" t="s">
        <v>0</v>
      </c>
      <c r="C3" s="3" t="s">
        <v>12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4" t="s">
        <v>7</v>
      </c>
      <c r="K3" s="3" t="s">
        <v>11</v>
      </c>
      <c r="L3" s="3" t="s">
        <v>8</v>
      </c>
      <c r="M3" s="3" t="s">
        <v>9</v>
      </c>
      <c r="N3" s="3" t="s">
        <v>10</v>
      </c>
      <c r="O3" s="3" t="s">
        <v>13</v>
      </c>
      <c r="P3" s="4" t="s">
        <v>14</v>
      </c>
    </row>
    <row r="4" spans="2:17" x14ac:dyDescent="0.25">
      <c r="B4" s="6">
        <v>1</v>
      </c>
      <c r="C4" s="6">
        <v>10</v>
      </c>
      <c r="D4" s="6"/>
      <c r="E4" s="6">
        <v>10</v>
      </c>
      <c r="F4" s="6">
        <v>29.2</v>
      </c>
      <c r="G4" s="6">
        <v>27.7</v>
      </c>
      <c r="H4" s="6">
        <f>G4-E4</f>
        <v>17.7</v>
      </c>
      <c r="I4" s="6">
        <f t="shared" ref="I4:I11" si="0">F4-G4</f>
        <v>1.5</v>
      </c>
      <c r="J4" s="7">
        <f t="shared" ref="J4:J15" si="1">I4/H4*100</f>
        <v>8.4745762711864412</v>
      </c>
      <c r="K4" s="9">
        <f>(J4+J5)/2</f>
        <v>8.78274268104777</v>
      </c>
      <c r="L4" s="8">
        <v>4130</v>
      </c>
      <c r="M4" s="8">
        <v>5720</v>
      </c>
      <c r="N4" s="8">
        <f>M4-L4</f>
        <v>1590</v>
      </c>
      <c r="O4" s="9">
        <f>N4/944</f>
        <v>1.6843220338983051</v>
      </c>
      <c r="P4" s="9">
        <f>O4/(1+K4/100)*9.81</f>
        <v>15.189173158640227</v>
      </c>
      <c r="Q4" s="6"/>
    </row>
    <row r="5" spans="2:17" x14ac:dyDescent="0.25">
      <c r="B5" s="6">
        <v>2</v>
      </c>
      <c r="C5" s="6">
        <v>10</v>
      </c>
      <c r="D5" s="6"/>
      <c r="E5" s="6">
        <v>9.4</v>
      </c>
      <c r="F5" s="6">
        <v>28.6</v>
      </c>
      <c r="G5" s="6">
        <v>27</v>
      </c>
      <c r="H5" s="6">
        <f t="shared" ref="H5:H15" si="2">G5-E5</f>
        <v>17.600000000000001</v>
      </c>
      <c r="I5" s="6">
        <f t="shared" si="0"/>
        <v>1.6000000000000014</v>
      </c>
      <c r="J5" s="7">
        <f t="shared" si="1"/>
        <v>9.0909090909090988</v>
      </c>
      <c r="K5" s="9"/>
      <c r="L5" s="8"/>
      <c r="M5" s="8"/>
      <c r="N5" s="8"/>
      <c r="O5" s="9"/>
      <c r="P5" s="9"/>
      <c r="Q5" s="6"/>
    </row>
    <row r="6" spans="2:17" x14ac:dyDescent="0.25">
      <c r="B6" s="6">
        <v>3</v>
      </c>
      <c r="C6" s="6">
        <v>12</v>
      </c>
      <c r="D6" s="6"/>
      <c r="E6" s="6">
        <v>9.9</v>
      </c>
      <c r="F6" s="6">
        <v>45</v>
      </c>
      <c r="G6" s="6">
        <v>41.5</v>
      </c>
      <c r="H6" s="6">
        <f t="shared" si="2"/>
        <v>31.6</v>
      </c>
      <c r="I6" s="6">
        <f t="shared" si="0"/>
        <v>3.5</v>
      </c>
      <c r="J6" s="7">
        <f t="shared" si="1"/>
        <v>11.075949367088606</v>
      </c>
      <c r="K6" s="9">
        <f t="shared" ref="K6" si="3">(J6+J7)/2</f>
        <v>11.551720388011656</v>
      </c>
      <c r="L6" s="8">
        <v>4130</v>
      </c>
      <c r="M6" s="8">
        <v>5810</v>
      </c>
      <c r="N6" s="8">
        <f>M6-L6</f>
        <v>1680</v>
      </c>
      <c r="O6" s="9">
        <f>N6/944</f>
        <v>1.7796610169491525</v>
      </c>
      <c r="P6" s="9">
        <f>O6/(1+K6/100)*9.81</f>
        <v>15.650565061251561</v>
      </c>
      <c r="Q6" s="6"/>
    </row>
    <row r="7" spans="2:17" x14ac:dyDescent="0.25">
      <c r="B7" s="6">
        <v>4</v>
      </c>
      <c r="C7" s="6">
        <v>12</v>
      </c>
      <c r="D7" s="6"/>
      <c r="E7" s="6">
        <v>8.8000000000000007</v>
      </c>
      <c r="F7" s="6">
        <v>41.4</v>
      </c>
      <c r="G7" s="6">
        <v>37.9</v>
      </c>
      <c r="H7" s="6">
        <f t="shared" si="2"/>
        <v>29.099999999999998</v>
      </c>
      <c r="I7" s="6">
        <f t="shared" si="0"/>
        <v>3.5</v>
      </c>
      <c r="J7" s="7">
        <f t="shared" si="1"/>
        <v>12.027491408934708</v>
      </c>
      <c r="K7" s="9"/>
      <c r="L7" s="8"/>
      <c r="M7" s="8"/>
      <c r="N7" s="8"/>
      <c r="O7" s="9"/>
      <c r="P7" s="9"/>
      <c r="Q7" s="6"/>
    </row>
    <row r="8" spans="2:17" x14ac:dyDescent="0.25">
      <c r="B8" s="6">
        <v>5</v>
      </c>
      <c r="C8" s="6">
        <v>14</v>
      </c>
      <c r="D8" s="6"/>
      <c r="E8" s="6">
        <v>8.9</v>
      </c>
      <c r="F8" s="6">
        <v>41.5</v>
      </c>
      <c r="G8" s="6">
        <v>37.700000000000003</v>
      </c>
      <c r="H8" s="6">
        <f t="shared" si="2"/>
        <v>28.800000000000004</v>
      </c>
      <c r="I8" s="6">
        <f>F8-G8</f>
        <v>3.7999999999999972</v>
      </c>
      <c r="J8" s="7">
        <f t="shared" si="1"/>
        <v>13.194444444444434</v>
      </c>
      <c r="K8" s="9">
        <f t="shared" ref="K8" si="4">(J8+J9)/2</f>
        <v>13.660419248244516</v>
      </c>
      <c r="L8" s="8">
        <v>4130</v>
      </c>
      <c r="M8" s="8">
        <v>5870</v>
      </c>
      <c r="N8" s="8">
        <f>M8-L8</f>
        <v>1740</v>
      </c>
      <c r="O8" s="9">
        <f>N8/944</f>
        <v>1.8432203389830508</v>
      </c>
      <c r="P8" s="9">
        <f t="shared" ref="P8" si="5">O8/(1+K8/100)*9.81</f>
        <v>15.90878482150505</v>
      </c>
      <c r="Q8" s="6"/>
    </row>
    <row r="9" spans="2:17" x14ac:dyDescent="0.25">
      <c r="B9" s="6">
        <v>6</v>
      </c>
      <c r="C9" s="6">
        <v>14</v>
      </c>
      <c r="D9" s="6"/>
      <c r="E9" s="6">
        <v>9.6</v>
      </c>
      <c r="F9" s="6">
        <v>40.299999999999997</v>
      </c>
      <c r="G9" s="6">
        <v>36.5</v>
      </c>
      <c r="H9" s="6">
        <f t="shared" si="2"/>
        <v>26.9</v>
      </c>
      <c r="I9" s="6">
        <f>F9-G9</f>
        <v>3.7999999999999972</v>
      </c>
      <c r="J9" s="7">
        <f t="shared" si="1"/>
        <v>14.126394052044599</v>
      </c>
      <c r="K9" s="9"/>
      <c r="L9" s="8"/>
      <c r="M9" s="8"/>
      <c r="N9" s="8"/>
      <c r="O9" s="9"/>
      <c r="P9" s="9"/>
      <c r="Q9" s="6"/>
    </row>
    <row r="10" spans="2:17" x14ac:dyDescent="0.25">
      <c r="B10" s="6">
        <v>7</v>
      </c>
      <c r="C10" s="6">
        <v>16</v>
      </c>
      <c r="D10" s="6"/>
      <c r="E10" s="6">
        <v>11.1</v>
      </c>
      <c r="F10" s="6">
        <v>58.1</v>
      </c>
      <c r="G10" s="6">
        <v>51.7</v>
      </c>
      <c r="H10" s="6">
        <f t="shared" si="2"/>
        <v>40.6</v>
      </c>
      <c r="I10" s="6">
        <f t="shared" si="0"/>
        <v>6.3999999999999986</v>
      </c>
      <c r="J10" s="7">
        <f t="shared" si="1"/>
        <v>15.763546798029552</v>
      </c>
      <c r="K10" s="9">
        <f t="shared" ref="K10" si="6">(J10+J11)/2</f>
        <v>16.817943611780741</v>
      </c>
      <c r="L10" s="8">
        <v>4130</v>
      </c>
      <c r="M10" s="8">
        <v>5970</v>
      </c>
      <c r="N10" s="8">
        <f>M10-L10</f>
        <v>1840</v>
      </c>
      <c r="O10" s="9">
        <f>N10/944</f>
        <v>1.9491525423728813</v>
      </c>
      <c r="P10" s="9">
        <f t="shared" ref="P10" si="7">O10/(1+K10/100)*9.81</f>
        <v>16.368364182323827</v>
      </c>
      <c r="Q10" s="6"/>
    </row>
    <row r="11" spans="2:17" x14ac:dyDescent="0.25">
      <c r="B11" s="6">
        <v>8</v>
      </c>
      <c r="C11" s="6">
        <v>16</v>
      </c>
      <c r="D11" s="6"/>
      <c r="E11" s="6">
        <v>9.4</v>
      </c>
      <c r="F11" s="6">
        <v>37.1</v>
      </c>
      <c r="G11" s="6">
        <v>32.9</v>
      </c>
      <c r="H11" s="6">
        <f t="shared" si="2"/>
        <v>23.5</v>
      </c>
      <c r="I11" s="6">
        <f t="shared" si="0"/>
        <v>4.2000000000000028</v>
      </c>
      <c r="J11" s="7">
        <f t="shared" si="1"/>
        <v>17.872340425531927</v>
      </c>
      <c r="K11" s="9"/>
      <c r="L11" s="8"/>
      <c r="M11" s="8"/>
      <c r="N11" s="8"/>
      <c r="O11" s="9"/>
      <c r="P11" s="9"/>
      <c r="Q11" s="6"/>
    </row>
    <row r="12" spans="2:17" x14ac:dyDescent="0.25">
      <c r="B12" s="6">
        <v>9</v>
      </c>
      <c r="C12" s="6">
        <v>18</v>
      </c>
      <c r="D12" s="6"/>
      <c r="E12" s="6">
        <v>10.7</v>
      </c>
      <c r="F12" s="6">
        <v>34.4</v>
      </c>
      <c r="G12" s="6">
        <v>30.5</v>
      </c>
      <c r="H12" s="6">
        <f t="shared" si="2"/>
        <v>19.8</v>
      </c>
      <c r="I12" s="6">
        <f>F12-G12</f>
        <v>3.8999999999999986</v>
      </c>
      <c r="J12" s="7">
        <f t="shared" si="1"/>
        <v>19.696969696969688</v>
      </c>
      <c r="K12" s="9">
        <f t="shared" ref="K12" si="8">(J12+J13)/2</f>
        <v>19.170518746789924</v>
      </c>
      <c r="L12" s="8">
        <v>4130</v>
      </c>
      <c r="M12" s="8">
        <v>5970</v>
      </c>
      <c r="N12" s="8">
        <f>M12-L12</f>
        <v>1840</v>
      </c>
      <c r="O12" s="9">
        <f>N12/944</f>
        <v>1.9491525423728813</v>
      </c>
      <c r="P12" s="9">
        <f t="shared" ref="P12:P14" si="9">O12/(1+K12/100)*9.81</f>
        <v>16.045232194806598</v>
      </c>
      <c r="Q12" s="6"/>
    </row>
    <row r="13" spans="2:17" x14ac:dyDescent="0.25">
      <c r="B13" s="6">
        <v>10</v>
      </c>
      <c r="C13" s="6">
        <v>18</v>
      </c>
      <c r="D13" s="6"/>
      <c r="E13" s="6">
        <v>9.5</v>
      </c>
      <c r="F13" s="6">
        <v>37.5</v>
      </c>
      <c r="G13" s="6">
        <v>33.1</v>
      </c>
      <c r="H13" s="6">
        <f t="shared" si="2"/>
        <v>23.6</v>
      </c>
      <c r="I13" s="6">
        <f>F13-G13</f>
        <v>4.3999999999999986</v>
      </c>
      <c r="J13" s="7">
        <f t="shared" si="1"/>
        <v>18.644067796610162</v>
      </c>
      <c r="K13" s="9"/>
      <c r="L13" s="8"/>
      <c r="M13" s="8"/>
      <c r="N13" s="8"/>
      <c r="O13" s="9"/>
      <c r="P13" s="9"/>
      <c r="Q13" s="6"/>
    </row>
    <row r="14" spans="2:17" x14ac:dyDescent="0.25">
      <c r="B14" s="6">
        <v>11</v>
      </c>
      <c r="C14" s="6">
        <v>20</v>
      </c>
      <c r="E14" s="6">
        <v>7.2</v>
      </c>
      <c r="F14" s="6">
        <v>47.4</v>
      </c>
      <c r="G14" s="6">
        <v>40.299999999999997</v>
      </c>
      <c r="H14" s="6">
        <f t="shared" si="2"/>
        <v>33.099999999999994</v>
      </c>
      <c r="I14" s="6">
        <f>F14-G14</f>
        <v>7.1000000000000014</v>
      </c>
      <c r="J14" s="7">
        <f t="shared" si="1"/>
        <v>21.450151057401818</v>
      </c>
      <c r="K14" s="9">
        <f t="shared" ref="K14" si="10">(J14+J15)/2</f>
        <v>20.204629432046637</v>
      </c>
      <c r="L14" s="8">
        <v>4130</v>
      </c>
      <c r="M14" s="10">
        <v>5910</v>
      </c>
      <c r="N14" s="10">
        <f>M14-L14</f>
        <v>1780</v>
      </c>
      <c r="O14" s="10">
        <f>N14/944</f>
        <v>1.8855932203389831</v>
      </c>
      <c r="P14" s="11">
        <f t="shared" si="9"/>
        <v>15.388483437721852</v>
      </c>
    </row>
    <row r="15" spans="2:17" x14ac:dyDescent="0.25">
      <c r="B15" s="6">
        <v>12</v>
      </c>
      <c r="C15" s="6">
        <v>20</v>
      </c>
      <c r="E15" s="6">
        <v>10.5</v>
      </c>
      <c r="F15" s="6">
        <v>42.5</v>
      </c>
      <c r="G15" s="6">
        <v>37.4</v>
      </c>
      <c r="H15" s="6">
        <f t="shared" si="2"/>
        <v>26.9</v>
      </c>
      <c r="I15" s="6">
        <f>F15-G15</f>
        <v>5.1000000000000014</v>
      </c>
      <c r="J15" s="7">
        <f t="shared" si="1"/>
        <v>18.959107806691456</v>
      </c>
      <c r="K15" s="9"/>
      <c r="L15" s="8"/>
      <c r="M15" s="10"/>
      <c r="N15" s="10"/>
      <c r="O15" s="10"/>
      <c r="P15" s="11"/>
    </row>
  </sheetData>
  <mergeCells count="36">
    <mergeCell ref="P14:P15"/>
    <mergeCell ref="K14:K15"/>
    <mergeCell ref="L14:L15"/>
    <mergeCell ref="M14:M15"/>
    <mergeCell ref="N14:N15"/>
    <mergeCell ref="O14:O15"/>
    <mergeCell ref="K4:K5"/>
    <mergeCell ref="K6:K7"/>
    <mergeCell ref="K8:K9"/>
    <mergeCell ref="K10:K11"/>
    <mergeCell ref="K12:K13"/>
    <mergeCell ref="L4:L5"/>
    <mergeCell ref="L6:L7"/>
    <mergeCell ref="L8:L9"/>
    <mergeCell ref="L10:L11"/>
    <mergeCell ref="L12:L13"/>
    <mergeCell ref="O4:O5"/>
    <mergeCell ref="O6:O7"/>
    <mergeCell ref="O8:O9"/>
    <mergeCell ref="O10:O11"/>
    <mergeCell ref="O12:O13"/>
    <mergeCell ref="P4:P5"/>
    <mergeCell ref="P6:P7"/>
    <mergeCell ref="P8:P9"/>
    <mergeCell ref="P10:P11"/>
    <mergeCell ref="P12:P13"/>
    <mergeCell ref="M4:M5"/>
    <mergeCell ref="M6:M7"/>
    <mergeCell ref="M8:M9"/>
    <mergeCell ref="M10:M11"/>
    <mergeCell ref="M12:M13"/>
    <mergeCell ref="N4:N5"/>
    <mergeCell ref="N6:N7"/>
    <mergeCell ref="N8:N9"/>
    <mergeCell ref="N10:N11"/>
    <mergeCell ref="N12:N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1804178 - Ashruma Nawrin Ananna</dc:creator>
  <cp:lastModifiedBy>1804187 - Sahea Maharuj  Mahadi</cp:lastModifiedBy>
  <dcterms:created xsi:type="dcterms:W3CDTF">2023-11-25T07:27:35Z</dcterms:created>
  <dcterms:modified xsi:type="dcterms:W3CDTF">2024-02-23T19:56:59Z</dcterms:modified>
</cp:coreProperties>
</file>